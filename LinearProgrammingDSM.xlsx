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unbc-my.sharepoint.com/personal/jhirt_unbc_ca/Documents/Academic Year 2025/Winter/CPSC 482/Project/"/>
    </mc:Choice>
  </mc:AlternateContent>
  <xr:revisionPtr revIDLastSave="8841" documentId="8_{9C053B42-625F-423B-B7C4-81F166D7984D}" xr6:coauthVersionLast="47" xr6:coauthVersionMax="47" xr10:uidLastSave="{C918E52E-17A1-4E4A-BEDD-983DD317D796}"/>
  <bookViews>
    <workbookView xWindow="-110" yWindow="-110" windowWidth="19420" windowHeight="11500" xr2:uid="{92166CFD-B66B-476E-81B1-9A8CB4469F6B}"/>
  </bookViews>
  <sheets>
    <sheet name="Matrix" sheetId="1" r:id="rId1"/>
    <sheet name="Population Report 1" sheetId="3" r:id="rId2"/>
  </sheets>
  <definedNames>
    <definedName name="solver_adj" localSheetId="0" hidden="1">Matrix!$J$2:$J$13</definedName>
    <definedName name="solver_cvg" localSheetId="0" hidden="1">0.0001</definedName>
    <definedName name="solver_drv" localSheetId="0" hidden="1">2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Matrix!$J$2:$J$13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Matrix!$G$19</definedName>
    <definedName name="solver_pre" localSheetId="0" hidden="1">0.000001</definedName>
    <definedName name="solver_rbv" localSheetId="0" hidden="1">2</definedName>
    <definedName name="solver_rel1" localSheetId="0" hidden="1">6</definedName>
    <definedName name="solver_rhs1" localSheetId="0" hidden="1">"AllDifferent"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2" i="1"/>
  <c r="C3" i="1"/>
  <c r="C4" i="1"/>
  <c r="C5" i="1"/>
  <c r="C6" i="1"/>
  <c r="C7" i="1"/>
  <c r="C8" i="1"/>
  <c r="C9" i="1"/>
  <c r="C10" i="1"/>
  <c r="C11" i="1"/>
  <c r="C12" i="1"/>
  <c r="C13" i="1"/>
  <c r="B3" i="1"/>
  <c r="B4" i="1"/>
  <c r="B5" i="1"/>
  <c r="B6" i="1"/>
  <c r="B7" i="1"/>
  <c r="B8" i="1"/>
  <c r="B9" i="1"/>
  <c r="B10" i="1"/>
  <c r="B11" i="1"/>
  <c r="B12" i="1"/>
  <c r="B13" i="1"/>
  <c r="D3" i="1" l="1" a="1"/>
  <c r="D3" i="1" s="1"/>
  <c r="E7" i="1" a="1"/>
  <c r="E7" i="1" s="1"/>
  <c r="E10" i="1" a="1"/>
  <c r="E10" i="1" s="1"/>
  <c r="D8" i="1" a="1"/>
  <c r="D8" i="1" s="1"/>
  <c r="D13" i="1" a="1"/>
  <c r="D13" i="1" s="1"/>
  <c r="E5" i="1" a="1"/>
  <c r="E5" i="1" s="1"/>
  <c r="E11" i="1" a="1"/>
  <c r="E11" i="1" s="1"/>
  <c r="D4" i="1" a="1"/>
  <c r="D4" i="1" s="1"/>
  <c r="D7" i="1" a="1"/>
  <c r="D7" i="1" s="1"/>
  <c r="D11" i="1" a="1"/>
  <c r="D11" i="1" s="1"/>
  <c r="E6" i="1" a="1"/>
  <c r="E6" i="1" s="1"/>
  <c r="E12" i="1" a="1"/>
  <c r="E12" i="1" s="1"/>
  <c r="D5" i="1" a="1"/>
  <c r="D5" i="1" s="1"/>
  <c r="D9" i="1" a="1"/>
  <c r="D9" i="1" s="1"/>
  <c r="D12" i="1" a="1"/>
  <c r="D12" i="1" s="1"/>
  <c r="E4" i="1" a="1"/>
  <c r="E4" i="1" s="1"/>
  <c r="E9" i="1" a="1"/>
  <c r="E9" i="1" s="1"/>
  <c r="E2" i="1" a="1"/>
  <c r="E2" i="1" s="1"/>
  <c r="D6" i="1" a="1"/>
  <c r="D6" i="1" s="1"/>
  <c r="D2" i="1" a="1"/>
  <c r="D2" i="1" s="1"/>
  <c r="E3" i="1" a="1"/>
  <c r="E3" i="1" s="1"/>
  <c r="E8" i="1" a="1"/>
  <c r="E8" i="1" s="1"/>
  <c r="E13" i="1" a="1"/>
  <c r="E13" i="1" s="1"/>
  <c r="D10" i="1" a="1"/>
  <c r="D10" i="1" s="1"/>
  <c r="D14" i="1" l="1"/>
  <c r="E14" i="1"/>
  <c r="G1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<sst xmlns="http://schemas.openxmlformats.org/spreadsheetml/2006/main" count="74" uniqueCount="66">
  <si>
    <t>Task</t>
  </si>
  <si>
    <t>Rank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</si>
  <si>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</si>
  <si>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</si>
  <si>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</si>
  <si>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</si>
  <si>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</si>
  <si>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</si>
  <si>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</si>
  <si>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</si>
  <si>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</si>
  <si>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</si>
  <si>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</si>
  <si>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</si>
  <si>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E,F,L</t>
  </si>
  <si>
    <t>F,H,K</t>
  </si>
  <si>
    <t>B,L</t>
  </si>
  <si>
    <t>B,K</t>
  </si>
  <si>
    <t>A,D,K</t>
  </si>
  <si>
    <t>C,F,J</t>
  </si>
  <si>
    <t>B,C,K,L</t>
  </si>
  <si>
    <t>B,C</t>
  </si>
  <si>
    <t>A,I,J,K</t>
  </si>
  <si>
    <t>Num Feedback</t>
  </si>
  <si>
    <t xml:space="preserve">Depends on </t>
  </si>
  <si>
    <t>Distance</t>
  </si>
  <si>
    <t>Depends On</t>
  </si>
  <si>
    <t>Score</t>
  </si>
  <si>
    <t>Microsoft Excel 16.0 Population Report</t>
  </si>
  <si>
    <t>Worksheet: [LinearProgrammingDSM.xlsx]Matrix</t>
  </si>
  <si>
    <t>Report Created: 2026-03-02 13:16:10</t>
  </si>
  <si>
    <t>Variable Cells</t>
  </si>
  <si>
    <t>Cell</t>
  </si>
  <si>
    <t>Name</t>
  </si>
  <si>
    <t>Best</t>
  </si>
  <si>
    <t>Value</t>
  </si>
  <si>
    <t>Mean</t>
  </si>
  <si>
    <t>Standard</t>
  </si>
  <si>
    <t>Deviation</t>
  </si>
  <si>
    <t>Maximum</t>
  </si>
  <si>
    <t>Minimum</t>
  </si>
  <si>
    <t>Constraints</t>
  </si>
  <si>
    <t>NONE</t>
  </si>
  <si>
    <t>$J$2</t>
  </si>
  <si>
    <t>B Rank</t>
  </si>
  <si>
    <t>$J$3</t>
  </si>
  <si>
    <t>$J$4</t>
  </si>
  <si>
    <t>C Rank</t>
  </si>
  <si>
    <t>$J$5</t>
  </si>
  <si>
    <t>B,C Rank</t>
  </si>
  <si>
    <t>$J$6</t>
  </si>
  <si>
    <t>B,K Rank</t>
  </si>
  <si>
    <t>$J$7</t>
  </si>
  <si>
    <t>B,C,K,L Rank</t>
  </si>
  <si>
    <t>$J$8</t>
  </si>
  <si>
    <t>A,I,J,K Rank</t>
  </si>
  <si>
    <t>$J$9</t>
  </si>
  <si>
    <t>B,L Rank</t>
  </si>
  <si>
    <t>$J$10</t>
  </si>
  <si>
    <t>C,F,J Rank</t>
  </si>
  <si>
    <t>$J$11</t>
  </si>
  <si>
    <t>A,D,K Rank</t>
  </si>
  <si>
    <t>$J$12</t>
  </si>
  <si>
    <t>F,H,K Rank</t>
  </si>
  <si>
    <t>$J$13</t>
  </si>
  <si>
    <t>E,F,L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</si>
</sst>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92B4-55CC-4DEB-9B8E-0343D7826CE6}">
  <dimension ref="A1:L19"/>
  <sheetViews>
    <sheetView tabSelected="1" workbookViewId="0">
      <selection activeCell="O8" sqref="O8"/>
    </sheetView>
  </sheetViews>
  <sheetFormatPr defaultRowHeight="14.5" x14ac:dyDescent="0.35"/>
  <cols>
    <col min="3" max="3" width="14.81640625" bestFit="1" customWidth="1"/>
    <col min="4" max="4" width="13" bestFit="1" customWidth="1"/>
  </cols>
  <sheetData>
    <row r="1" spans="1:12" x14ac:dyDescent="0.35">
      <c r="A1" t="s">
        <v>1</v>
      </c>
      <c r="B1" t="s">
        <v>0</v>
      </c>
      <c r="C1" t="s">
        <v>24</v>
      </c>
      <c r="D1" t="s">
        <v>23</v>
      </c>
      <c r="E1" t="s">
        <v>25</v>
      </c>
      <c r="J1" t="s">
        <v>1</v>
      </c>
      <c r="K1" t="s">
        <v>0</v>
      </c>
      <c r="L1" t="s">
        <v>26</v>
      </c>
    </row>
    <row r="2" spans="1:12" x14ac:dyDescent="0.35">
      <c r="A2">
        <v>1</v>
      </c>
      <c r="B2" t="str">
        <f>INDEX($K$2:$K$13, MATCH(A2, $J$2:$J$13, 0))</f>
        <v>B</v>
      </c>
      <c r="C2">
        <f>INDEX($L$2:$L$13, MATCH(A2, $J$2:$J$13, 0))</f>
        <v>0</v>
      </c>
      <c r="D2" cm="1">
        <f t="array" ref="D2">IF(C2="", 0, SUMPRODUCT(--(ISNUMBER(SEARCH($B$2:$B$13, C2))), --($A$2:$A$13 &gt; A2)))</f>
        <v>0</v>
      </c>
      <c r="E2" cm="1">
        <f t="array" ref="E2">SUMPRODUCT(ISNUMBER(SEARCH($B$2:$B$13, C2))*($A$2:$A$13 &gt; A2)*($A$2:$A$13 - A2))</f>
        <v>0</v>
      </c>
      <c r="J2">
        <v>4</v>
      </c>
      <c r="K2" t="s">
        <v>2</v>
      </c>
      <c r="L2" t="s">
        <v>4</v>
      </c>
    </row>
    <row r="3" spans="1:12" x14ac:dyDescent="0.35">
      <c r="A3">
        <v>2</v>
      </c>
      <c r="B3" t="str">
        <f t="shared" ref="B3:B13" si="0">INDEX($K$2:$K$13, MATCH(A3, $J$2:$J$13, 0))</f>
        <v>C</v>
      </c>
      <c r="C3" t="str">
        <f t="shared" ref="C3:C13" si="1">INDEX($L$2:$L$13, MATCH(A3, $J$2:$J$13, 0))</f>
        <v>B</v>
      </c>
      <c r="D3" cm="1">
        <f t="array" ref="D3">IF(C3="", 0, SUMPRODUCT(--(ISNUMBER(SEARCH($B$2:$B$13, C3))), --($A$2:$A$13 &gt; A3)))</f>
        <v>0</v>
      </c>
      <c r="E3" cm="1">
        <f t="array" ref="E3">SUMPRODUCT(ISNUMBER(SEARCH($B$2:$B$13, C3))*($A$2:$A$13 &gt; A3)*($A$2:$A$13 - A3))</f>
        <v>0</v>
      </c>
      <c r="J3">
        <v>1</v>
      </c>
      <c r="K3" t="s">
        <v>3</v>
      </c>
    </row>
    <row r="4" spans="1:12" x14ac:dyDescent="0.35">
      <c r="A4">
        <v>3</v>
      </c>
      <c r="B4" t="str">
        <f t="shared" si="0"/>
        <v>K</v>
      </c>
      <c r="C4" t="str">
        <f t="shared" si="1"/>
        <v>B,C</v>
      </c>
      <c r="D4" cm="1">
        <f t="array" ref="D4">IF(C4="", 0, SUMPRODUCT(--(ISNUMBER(SEARCH($B$2:$B$13, C4))), --($A$2:$A$13 &gt; A4)))</f>
        <v>0</v>
      </c>
      <c r="E4" cm="1">
        <f t="array" ref="E4">SUMPRODUCT(ISNUMBER(SEARCH($B$2:$B$13, C4))*($A$2:$A$13 &gt; A4)*($A$2:$A$13 - A4))</f>
        <v>0</v>
      </c>
      <c r="J4">
        <v>2</v>
      </c>
      <c r="K4" t="s">
        <v>4</v>
      </c>
      <c r="L4" t="s">
        <v>3</v>
      </c>
    </row>
    <row r="5" spans="1:12" x14ac:dyDescent="0.35">
      <c r="A5">
        <v>4</v>
      </c>
      <c r="B5" t="str">
        <f t="shared" si="0"/>
        <v>A</v>
      </c>
      <c r="C5" t="str">
        <f t="shared" si="1"/>
        <v>C</v>
      </c>
      <c r="D5" cm="1">
        <f t="array" ref="D5">IF(C5="", 0, SUMPRODUCT(--(ISNUMBER(SEARCH($B$2:$B$13, C5))), --($A$2:$A$13 &gt; A5)))</f>
        <v>0</v>
      </c>
      <c r="E5" cm="1">
        <f t="array" ref="E5">SUMPRODUCT(ISNUMBER(SEARCH($B$2:$B$13, C5))*($A$2:$A$13 &gt; A5)*($A$2:$A$13 - A5))</f>
        <v>0</v>
      </c>
      <c r="J5">
        <v>12</v>
      </c>
      <c r="K5" t="s">
        <v>5</v>
      </c>
      <c r="L5" t="s">
        <v>14</v>
      </c>
    </row>
    <row r="6" spans="1:12" x14ac:dyDescent="0.35">
      <c r="A6">
        <v>5</v>
      </c>
      <c r="B6" t="str">
        <f t="shared" si="0"/>
        <v>G</v>
      </c>
      <c r="C6" t="str">
        <f t="shared" si="1"/>
        <v>B,K</v>
      </c>
      <c r="D6" cm="1">
        <f t="array" ref="D6">IF(C6="", 0, SUMPRODUCT(--(ISNUMBER(SEARCH($B$2:$B$13, C6))), --($A$2:$A$13 &gt; A6)))</f>
        <v>0</v>
      </c>
      <c r="E6" cm="1">
        <f t="array" ref="E6">SUMPRODUCT(ISNUMBER(SEARCH($B$2:$B$13, C6))*($A$2:$A$13 &gt; A6)*($A$2:$A$13 - A6))</f>
        <v>0</v>
      </c>
      <c r="J6">
        <v>11</v>
      </c>
      <c r="K6" t="s">
        <v>6</v>
      </c>
      <c r="L6" t="s">
        <v>15</v>
      </c>
    </row>
    <row r="7" spans="1:12" x14ac:dyDescent="0.35">
      <c r="A7">
        <v>6</v>
      </c>
      <c r="B7" t="str">
        <f t="shared" si="0"/>
        <v>J</v>
      </c>
      <c r="C7" t="str">
        <f t="shared" si="1"/>
        <v>B,C,K,L</v>
      </c>
      <c r="D7" cm="1">
        <f t="array" ref="D7">IF(C7="", 0, SUMPRODUCT(--(ISNUMBER(SEARCH($B$2:$B$13, C7))), --($A$2:$A$13 &gt; A7)))</f>
        <v>1</v>
      </c>
      <c r="E7" cm="1">
        <f t="array" ref="E7">SUMPRODUCT(ISNUMBER(SEARCH($B$2:$B$13, C7))*($A$2:$A$13 &gt; A7)*($A$2:$A$13 - A7))</f>
        <v>1</v>
      </c>
      <c r="J7">
        <v>8</v>
      </c>
      <c r="K7" t="s">
        <v>7</v>
      </c>
      <c r="L7" t="s">
        <v>16</v>
      </c>
    </row>
    <row r="8" spans="1:12" x14ac:dyDescent="0.35">
      <c r="A8">
        <v>7</v>
      </c>
      <c r="B8" t="str">
        <f t="shared" si="0"/>
        <v>L</v>
      </c>
      <c r="C8" t="str">
        <f t="shared" si="1"/>
        <v>A,I,J,K</v>
      </c>
      <c r="D8" cm="1">
        <f t="array" ref="D8">IF(C8="", 0, SUMPRODUCT(--(ISNUMBER(SEARCH($B$2:$B$13, C8))), --($A$2:$A$13 &gt; A8)))</f>
        <v>1</v>
      </c>
      <c r="E8" cm="1">
        <f t="array" ref="E8">SUMPRODUCT(ISNUMBER(SEARCH($B$2:$B$13, C8))*($A$2:$A$13 &gt; A8)*($A$2:$A$13 - A8))</f>
        <v>2</v>
      </c>
      <c r="J8">
        <v>5</v>
      </c>
      <c r="K8" t="s">
        <v>8</v>
      </c>
      <c r="L8" t="s">
        <v>17</v>
      </c>
    </row>
    <row r="9" spans="1:12" x14ac:dyDescent="0.35">
      <c r="A9">
        <v>8</v>
      </c>
      <c r="B9" t="str">
        <f t="shared" si="0"/>
        <v>F</v>
      </c>
      <c r="C9" t="str">
        <f t="shared" si="1"/>
        <v>B,L</v>
      </c>
      <c r="D9" cm="1">
        <f t="array" ref="D9">IF(C9="", 0, SUMPRODUCT(--(ISNUMBER(SEARCH($B$2:$B$13, C9))), --($A$2:$A$13 &gt; A9)))</f>
        <v>0</v>
      </c>
      <c r="E9" cm="1">
        <f t="array" ref="E9">SUMPRODUCT(ISNUMBER(SEARCH($B$2:$B$13, C9))*($A$2:$A$13 &gt; A9)*($A$2:$A$13 - A9))</f>
        <v>0</v>
      </c>
      <c r="J9">
        <v>10</v>
      </c>
      <c r="K9" t="s">
        <v>9</v>
      </c>
      <c r="L9" t="s">
        <v>18</v>
      </c>
    </row>
    <row r="10" spans="1:12" x14ac:dyDescent="0.35">
      <c r="A10">
        <v>9</v>
      </c>
      <c r="B10" t="str">
        <f t="shared" si="0"/>
        <v>I</v>
      </c>
      <c r="C10" t="str">
        <f t="shared" si="1"/>
        <v>C,F,J</v>
      </c>
      <c r="D10" cm="1">
        <f t="array" ref="D10">IF(C10="", 0, SUMPRODUCT(--(ISNUMBER(SEARCH($B$2:$B$13, C10))), --($A$2:$A$13 &gt; A10)))</f>
        <v>0</v>
      </c>
      <c r="E10" cm="1">
        <f t="array" ref="E10">SUMPRODUCT(ISNUMBER(SEARCH($B$2:$B$13, C10))*($A$2:$A$13 &gt; A10)*($A$2:$A$13 - A10))</f>
        <v>0</v>
      </c>
      <c r="J10">
        <v>9</v>
      </c>
      <c r="K10" t="s">
        <v>10</v>
      </c>
      <c r="L10" t="s">
        <v>19</v>
      </c>
    </row>
    <row r="11" spans="1:12" x14ac:dyDescent="0.35">
      <c r="A11">
        <v>10</v>
      </c>
      <c r="B11" t="str">
        <f t="shared" si="0"/>
        <v>H</v>
      </c>
      <c r="C11" t="str">
        <f t="shared" si="1"/>
        <v>A,D,K</v>
      </c>
      <c r="D11" cm="1">
        <f t="array" ref="D11">IF(C11="", 0, SUMPRODUCT(--(ISNUMBER(SEARCH($B$2:$B$13, C11))), --($A$2:$A$13 &gt; A11)))</f>
        <v>1</v>
      </c>
      <c r="E11" cm="1">
        <f t="array" ref="E11">SUMPRODUCT(ISNUMBER(SEARCH($B$2:$B$13, C11))*($A$2:$A$13 &gt; A11)*($A$2:$A$13 - A11))</f>
        <v>2</v>
      </c>
      <c r="J11">
        <v>6</v>
      </c>
      <c r="K11" t="s">
        <v>11</v>
      </c>
      <c r="L11" t="s">
        <v>20</v>
      </c>
    </row>
    <row r="12" spans="1:12" x14ac:dyDescent="0.35">
      <c r="A12">
        <v>11</v>
      </c>
      <c r="B12" t="str">
        <f t="shared" si="0"/>
        <v>E</v>
      </c>
      <c r="C12" t="str">
        <f t="shared" si="1"/>
        <v>F,H,K</v>
      </c>
      <c r="D12" cm="1">
        <f t="array" ref="D12">IF(C12="", 0, SUMPRODUCT(--(ISNUMBER(SEARCH($B$2:$B$13, C12))), --($A$2:$A$13 &gt; A12)))</f>
        <v>0</v>
      </c>
      <c r="E12" cm="1">
        <f t="array" ref="E12">SUMPRODUCT(ISNUMBER(SEARCH($B$2:$B$13, C12))*($A$2:$A$13 &gt; A12)*($A$2:$A$13 - A12))</f>
        <v>0</v>
      </c>
      <c r="J12">
        <v>3</v>
      </c>
      <c r="K12" t="s">
        <v>12</v>
      </c>
      <c r="L12" t="s">
        <v>21</v>
      </c>
    </row>
    <row r="13" spans="1:12" x14ac:dyDescent="0.35">
      <c r="A13">
        <v>12</v>
      </c>
      <c r="B13" t="str">
        <f t="shared" si="0"/>
        <v>D</v>
      </c>
      <c r="C13" t="str">
        <f t="shared" si="1"/>
        <v>E,F,L</v>
      </c>
      <c r="D13" cm="1">
        <f t="array" ref="D13">IF(C13="", 0, SUMPRODUCT(--(ISNUMBER(SEARCH($B$2:$B$13, C13))), --($A$2:$A$13 &gt; A13)))</f>
        <v>0</v>
      </c>
      <c r="E13" cm="1">
        <f t="array" ref="E13">SUMPRODUCT(ISNUMBER(SEARCH($B$2:$B$13, C13))*($A$2:$A$13 &gt; A13)*($A$2:$A$13 - A13))</f>
        <v>0</v>
      </c>
      <c r="J13">
        <v>7</v>
      </c>
      <c r="K13" t="s">
        <v>13</v>
      </c>
      <c r="L13" t="s">
        <v>22</v>
      </c>
    </row>
    <row r="14" spans="1:12" x14ac:dyDescent="0.35">
      <c r="D14">
        <f>SUM(D2:D13)</f>
        <v>3</v>
      </c>
      <c r="E14">
        <f>SUM(E2:E13)</f>
        <v>5</v>
      </c>
    </row>
    <row r="18" spans="7:7" x14ac:dyDescent="0.35">
      <c r="G18" t="s">
        <v>27</v>
      </c>
    </row>
    <row r="19" spans="7:7" x14ac:dyDescent="0.35">
      <c r="G19">
        <f>IFERROR(D14*10000+E14,99999999)</f>
        <v>30005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DFBA-B1B3-46C2-BD4E-6479F68B9D1D}">
  <dimension ref="A1:H23"/>
  <sheetViews>
    <sheetView showGridLines="0" workbookViewId="0"/>
  </sheetViews>
  <sheetFormatPr defaultRowHeight="14.5" x14ac:dyDescent="0.35"/>
  <cols>
    <col min="1" max="1" width="2.1796875" customWidth="1"/>
    <col min="2" max="2" width="5.7265625" bestFit="1" customWidth="1"/>
    <col min="3" max="3" width="11.08984375" bestFit="1" customWidth="1"/>
    <col min="4" max="4" width="5.54296875" bestFit="1" customWidth="1"/>
    <col min="5" max="5" width="5.81640625" bestFit="1" customWidth="1"/>
    <col min="6" max="6" width="11.81640625" bestFit="1" customWidth="1"/>
    <col min="7" max="7" width="9.08984375" bestFit="1" customWidth="1"/>
    <col min="8" max="8" width="8.81640625" bestFit="1" customWidth="1"/>
  </cols>
  <sheetData>
    <row r="1" spans="1:8" x14ac:dyDescent="0.35">
      <c r="A1" s="1" t="s">
        <v>28</v>
      </c>
    </row>
    <row r="2" spans="1:8" x14ac:dyDescent="0.35">
      <c r="A2" s="1" t="s">
        <v>29</v>
      </c>
    </row>
    <row r="3" spans="1:8" x14ac:dyDescent="0.35">
      <c r="A3" s="1" t="s">
        <v>30</v>
      </c>
    </row>
    <row r="6" spans="1:8" ht="15" thickBot="1" x14ac:dyDescent="0.4">
      <c r="A6" t="s">
        <v>31</v>
      </c>
    </row>
    <row r="7" spans="1:8" x14ac:dyDescent="0.35">
      <c r="B7" s="4"/>
      <c r="C7" s="4"/>
      <c r="D7" s="4" t="s">
        <v>34</v>
      </c>
      <c r="E7" s="4" t="s">
        <v>36</v>
      </c>
      <c r="F7" s="4" t="s">
        <v>37</v>
      </c>
      <c r="G7" s="4" t="s">
        <v>39</v>
      </c>
      <c r="H7" s="4" t="s">
        <v>40</v>
      </c>
    </row>
    <row r="8" spans="1:8" ht="15" thickBot="1" x14ac:dyDescent="0.4">
      <c r="B8" s="5" t="s">
        <v>32</v>
      </c>
      <c r="C8" s="5" t="s">
        <v>33</v>
      </c>
      <c r="D8" s="5" t="s">
        <v>35</v>
      </c>
      <c r="E8" s="5" t="s">
        <v>35</v>
      </c>
      <c r="F8" s="5" t="s">
        <v>38</v>
      </c>
      <c r="G8" s="5" t="s">
        <v>35</v>
      </c>
      <c r="H8" s="5" t="s">
        <v>35</v>
      </c>
    </row>
    <row r="9" spans="1:8" x14ac:dyDescent="0.35">
      <c r="B9" s="2" t="s">
        <v>43</v>
      </c>
      <c r="C9" s="2" t="s">
        <v>44</v>
      </c>
      <c r="D9" s="2">
        <v>3</v>
      </c>
      <c r="E9" s="2">
        <v>3.72</v>
      </c>
      <c r="F9" s="2">
        <v>1.5896127474541359</v>
      </c>
      <c r="G9" s="2">
        <v>12</v>
      </c>
      <c r="H9" s="2">
        <v>1</v>
      </c>
    </row>
    <row r="10" spans="1:8" x14ac:dyDescent="0.35">
      <c r="B10" s="2" t="s">
        <v>45</v>
      </c>
      <c r="C10" s="2" t="s">
        <v>44</v>
      </c>
      <c r="D10" s="2">
        <v>1</v>
      </c>
      <c r="E10" s="2">
        <v>1.54</v>
      </c>
      <c r="F10" s="2">
        <v>1.8825085348646853</v>
      </c>
      <c r="G10" s="2">
        <v>12</v>
      </c>
      <c r="H10" s="2">
        <v>1</v>
      </c>
    </row>
    <row r="11" spans="1:8" x14ac:dyDescent="0.35">
      <c r="B11" s="2" t="s">
        <v>46</v>
      </c>
      <c r="C11" s="2" t="s">
        <v>47</v>
      </c>
      <c r="D11" s="2">
        <v>2</v>
      </c>
      <c r="E11" s="2">
        <v>2.36</v>
      </c>
      <c r="F11" s="2">
        <v>1.6968181750535087</v>
      </c>
      <c r="G11" s="2">
        <v>12</v>
      </c>
      <c r="H11" s="2">
        <v>1</v>
      </c>
    </row>
    <row r="12" spans="1:8" x14ac:dyDescent="0.35">
      <c r="B12" s="2" t="s">
        <v>48</v>
      </c>
      <c r="C12" s="2" t="s">
        <v>49</v>
      </c>
      <c r="D12" s="2">
        <v>12</v>
      </c>
      <c r="E12" s="2">
        <v>10.14</v>
      </c>
      <c r="F12" s="2">
        <v>1.6997920253057219</v>
      </c>
      <c r="G12" s="2">
        <v>12</v>
      </c>
      <c r="H12" s="2">
        <v>2</v>
      </c>
    </row>
    <row r="13" spans="1:8" x14ac:dyDescent="0.35">
      <c r="B13" s="2" t="s">
        <v>50</v>
      </c>
      <c r="C13" s="2" t="s">
        <v>51</v>
      </c>
      <c r="D13" s="2">
        <v>11</v>
      </c>
      <c r="E13" s="2">
        <v>10.48</v>
      </c>
      <c r="F13" s="2">
        <v>1.8503616900050603</v>
      </c>
      <c r="G13" s="2">
        <v>12</v>
      </c>
      <c r="H13" s="2">
        <v>1</v>
      </c>
    </row>
    <row r="14" spans="1:8" x14ac:dyDescent="0.35">
      <c r="B14" s="2" t="s">
        <v>52</v>
      </c>
      <c r="C14" s="2" t="s">
        <v>53</v>
      </c>
      <c r="D14" s="2">
        <v>8</v>
      </c>
      <c r="E14" s="2">
        <v>7.11</v>
      </c>
      <c r="F14" s="2">
        <v>1.2940813207238813</v>
      </c>
      <c r="G14" s="2">
        <v>12</v>
      </c>
      <c r="H14" s="2">
        <v>2</v>
      </c>
    </row>
    <row r="15" spans="1:8" x14ac:dyDescent="0.35">
      <c r="B15" s="2" t="s">
        <v>54</v>
      </c>
      <c r="C15" s="2" t="s">
        <v>55</v>
      </c>
      <c r="D15" s="2">
        <v>5</v>
      </c>
      <c r="E15" s="2">
        <v>10.199999999999999</v>
      </c>
      <c r="F15" s="2">
        <v>2.0548046676563261</v>
      </c>
      <c r="G15" s="2">
        <v>12</v>
      </c>
      <c r="H15" s="2">
        <v>2</v>
      </c>
    </row>
    <row r="16" spans="1:8" x14ac:dyDescent="0.35">
      <c r="B16" s="2" t="s">
        <v>56</v>
      </c>
      <c r="C16" s="2" t="s">
        <v>57</v>
      </c>
      <c r="D16" s="2">
        <v>10</v>
      </c>
      <c r="E16" s="2">
        <v>9.84</v>
      </c>
      <c r="F16" s="2">
        <v>1.1434486203912915</v>
      </c>
      <c r="G16" s="2">
        <v>12</v>
      </c>
      <c r="H16" s="2">
        <v>3</v>
      </c>
    </row>
    <row r="17" spans="1:8" x14ac:dyDescent="0.35">
      <c r="B17" s="2" t="s">
        <v>58</v>
      </c>
      <c r="C17" s="2" t="s">
        <v>59</v>
      </c>
      <c r="D17" s="2">
        <v>9</v>
      </c>
      <c r="E17" s="2">
        <v>7.97</v>
      </c>
      <c r="F17" s="2">
        <v>1.0959521481849066</v>
      </c>
      <c r="G17" s="2">
        <v>12</v>
      </c>
      <c r="H17" s="2">
        <v>3</v>
      </c>
    </row>
    <row r="18" spans="1:8" x14ac:dyDescent="0.35">
      <c r="B18" s="2" t="s">
        <v>60</v>
      </c>
      <c r="C18" s="2" t="s">
        <v>61</v>
      </c>
      <c r="D18" s="2">
        <v>6</v>
      </c>
      <c r="E18" s="2">
        <v>5.0599999999999996</v>
      </c>
      <c r="F18" s="2">
        <v>1.1175369742826808</v>
      </c>
      <c r="G18" s="2">
        <v>11</v>
      </c>
      <c r="H18" s="2">
        <v>1</v>
      </c>
    </row>
    <row r="19" spans="1:8" x14ac:dyDescent="0.35">
      <c r="B19" s="2" t="s">
        <v>62</v>
      </c>
      <c r="C19" s="2" t="s">
        <v>63</v>
      </c>
      <c r="D19" s="2">
        <v>4</v>
      </c>
      <c r="E19" s="2">
        <v>3.73</v>
      </c>
      <c r="F19" s="2">
        <v>1.2780588184564683</v>
      </c>
      <c r="G19" s="2">
        <v>11</v>
      </c>
      <c r="H19" s="2">
        <v>1</v>
      </c>
    </row>
    <row r="20" spans="1:8" ht="15" thickBot="1" x14ac:dyDescent="0.4">
      <c r="B20" s="3" t="s">
        <v>64</v>
      </c>
      <c r="C20" s="3" t="s">
        <v>65</v>
      </c>
      <c r="D20" s="3">
        <v>7</v>
      </c>
      <c r="E20" s="3">
        <v>5.85</v>
      </c>
      <c r="F20" s="3">
        <v>0.78334945180064031</v>
      </c>
      <c r="G20" s="3">
        <v>7</v>
      </c>
      <c r="H20" s="3">
        <v>1</v>
      </c>
    </row>
    <row r="22" spans="1:8" x14ac:dyDescent="0.35">
      <c r="A22" t="s">
        <v>41</v>
      </c>
    </row>
    <row r="23" spans="1:8" x14ac:dyDescent="0.35">
      <c r="B2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Population Report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Hirt</dc:creator>
  <cp:lastModifiedBy>Jared Hirt</cp:lastModifiedBy>
  <dcterms:created xsi:type="dcterms:W3CDTF">2026-02-26T21:40:55Z</dcterms:created>
  <dcterms:modified xsi:type="dcterms:W3CDTF">2026-03-03T20:54:08Z</dcterms:modified>
</cp:coreProperties>
</file>